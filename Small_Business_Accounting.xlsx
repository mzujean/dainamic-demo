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" sheetId="1" r:id="rId5"/>
    <sheet state="visible" name="Expenses" sheetId="2" r:id="rId6"/>
    <sheet state="visible" name="Capital" sheetId="3" r:id="rId7"/>
    <sheet state="visible" name="Inventory" sheetId="4" r:id="rId8"/>
    <sheet state="visible" name="Sheet1" sheetId="5" r:id="rId9"/>
    <sheet state="visible" name="Summary" sheetId="6" r:id="rId10"/>
    <sheet state="visible" name="Form responses" sheetId="7" r:id="rId11"/>
  </sheets>
  <definedNames/>
  <calcPr/>
</workbook>
</file>

<file path=xl/sharedStrings.xml><?xml version="1.0" encoding="utf-8"?>
<sst xmlns="http://schemas.openxmlformats.org/spreadsheetml/2006/main" count="306" uniqueCount="114">
  <si>
    <t>Date</t>
  </si>
  <si>
    <t>Customer Name</t>
  </si>
  <si>
    <t>Category</t>
  </si>
  <si>
    <t>Description</t>
  </si>
  <si>
    <t>Amount</t>
  </si>
  <si>
    <t>Payment Method</t>
  </si>
  <si>
    <t>Notes</t>
  </si>
  <si>
    <t>Mathabelazitha</t>
  </si>
  <si>
    <t>Products Sold</t>
  </si>
  <si>
    <t xml:space="preserve">Hair oils, sprays and butters </t>
  </si>
  <si>
    <t xml:space="preserve">	EFT</t>
  </si>
  <si>
    <t>Paid</t>
  </si>
  <si>
    <t>Dai</t>
  </si>
  <si>
    <t>Capital</t>
  </si>
  <si>
    <t>Injection cash into the business</t>
  </si>
  <si>
    <t xml:space="preserve">Dai </t>
  </si>
  <si>
    <t>Lindi</t>
  </si>
  <si>
    <t xml:space="preserve">Hair oils, sprays  </t>
  </si>
  <si>
    <t>EFT</t>
  </si>
  <si>
    <t>E chauke</t>
  </si>
  <si>
    <t>Hair oils</t>
  </si>
  <si>
    <t>Pending</t>
  </si>
  <si>
    <t>Vendor/Payee</t>
  </si>
  <si>
    <t>Delivery</t>
  </si>
  <si>
    <t>Delivery of products sold</t>
  </si>
  <si>
    <t>Mabira Pack</t>
  </si>
  <si>
    <t>Inventory</t>
  </si>
  <si>
    <t>Ordered spray bottles wih caps(10) Oil bottles with spout (10), Black jars 125ml (20), natural HDPE jars 125ml (10)</t>
  </si>
  <si>
    <t>Facebook Ads</t>
  </si>
  <si>
    <t>Marketing</t>
  </si>
  <si>
    <t>R200 for ads</t>
  </si>
  <si>
    <t>Cosmetic Studio [Order #221716] (June 5, 2025)</t>
  </si>
  <si>
    <t>inventory</t>
  </si>
  <si>
    <t>Refined Naturals</t>
  </si>
  <si>
    <t>Ads to drive sales</t>
  </si>
  <si>
    <t>pudo</t>
  </si>
  <si>
    <t>delivery</t>
  </si>
  <si>
    <t>bolt</t>
  </si>
  <si>
    <t>Pumpkin seed oil</t>
  </si>
  <si>
    <t>pumkin seed oil</t>
  </si>
  <si>
    <t>printing lables</t>
  </si>
  <si>
    <t xml:space="preserve">lables printed at Postnet </t>
  </si>
  <si>
    <t>no marketing active but money deducted from my account</t>
  </si>
  <si>
    <t>no marketing active but money deducted from to stop deductions.</t>
  </si>
  <si>
    <t>checkers</t>
  </si>
  <si>
    <t>delivery fee</t>
  </si>
  <si>
    <t>Atlas Trading Company</t>
  </si>
  <si>
    <t>Source</t>
  </si>
  <si>
    <t>Owner</t>
  </si>
  <si>
    <t>investing into the company</t>
  </si>
  <si>
    <t>paid</t>
  </si>
  <si>
    <t>Item Name</t>
  </si>
  <si>
    <t>Quantity</t>
  </si>
  <si>
    <t>Cost per Unit</t>
  </si>
  <si>
    <t>Total Cost</t>
  </si>
  <si>
    <t>Supplier</t>
  </si>
  <si>
    <t>125ml Black Jars</t>
  </si>
  <si>
    <t>For butter production</t>
  </si>
  <si>
    <t xml:space="preserve">Clear Spray 50ml Bottles </t>
  </si>
  <si>
    <t>For oil and leave in conditioner production</t>
  </si>
  <si>
    <t xml:space="preserve">black oil spout </t>
  </si>
  <si>
    <t>Used for R60 oils</t>
  </si>
  <si>
    <t xml:space="preserve">black spray spout </t>
  </si>
  <si>
    <t>Used for R30 sprays</t>
  </si>
  <si>
    <t>Natural HDPE 125ml Jars</t>
  </si>
  <si>
    <t>For unrelease leave in conditioner</t>
  </si>
  <si>
    <t>Jamaican Black castor oil</t>
  </si>
  <si>
    <t>Checkers</t>
  </si>
  <si>
    <t>For liquid leave in production, This expense occurred prior to receiving payment but is directly related to the sale.</t>
  </si>
  <si>
    <t>Glyco Lemon Leave in Conditioner 750ml</t>
  </si>
  <si>
    <t>Jasmine Fragrance Oil (Nature Inspired) × 1</t>
  </si>
  <si>
    <t>African Black Soap - Melt &amp; Pour × 1</t>
  </si>
  <si>
    <t>testing clarifying shampoo</t>
  </si>
  <si>
    <t>Castile Liquid Soap Base</t>
  </si>
  <si>
    <t>testing every week shampoo</t>
  </si>
  <si>
    <t>Shea Butter (Refined)</t>
  </si>
  <si>
    <t>Hair butter</t>
  </si>
  <si>
    <t>Mango Butter</t>
  </si>
  <si>
    <t>BTMS 25 - 100g</t>
  </si>
  <si>
    <t>cosmeticstudio</t>
  </si>
  <si>
    <t>for product production</t>
  </si>
  <si>
    <t>Preservative Blend AKA Geoguard 221 - 250ml</t>
  </si>
  <si>
    <t>delivery of items above</t>
  </si>
  <si>
    <t>delivery of items ordered on the 5 June 2025</t>
  </si>
  <si>
    <t>african pride oil</t>
  </si>
  <si>
    <t>clicks</t>
  </si>
  <si>
    <t>For leave in conditioner production</t>
  </si>
  <si>
    <t>Aloe Vera Powder</t>
  </si>
  <si>
    <t>Hibiscus Powder</t>
  </si>
  <si>
    <t>Brahmi Powder (Bacopa)</t>
  </si>
  <si>
    <t>Neem Powder</t>
  </si>
  <si>
    <t>Fenugreek/Methi Seeds</t>
  </si>
  <si>
    <t>Rosemary</t>
  </si>
  <si>
    <t>Moringa Powder</t>
  </si>
  <si>
    <t>Amla Powder 100Gr</t>
  </si>
  <si>
    <t>Castor Oil - Organic (CP) 100ml (Confirmed: 24-09-2025)</t>
  </si>
  <si>
    <t>Mango Butter (Refined) 500g (Confirmed: 24-09-2025)</t>
  </si>
  <si>
    <t>Shea Butter (Refined) 500g (Confirmed: 24-09-2025)</t>
  </si>
  <si>
    <t>Euxyl PE9010 100ml (Confirmed: 25-11-2025)</t>
  </si>
  <si>
    <t>Black Castor Oil (Jamaican) 100ml (Confirmed: 25-11-2025)</t>
  </si>
  <si>
    <t>Health Connection Wholefoods Brown Linseeds 500g</t>
  </si>
  <si>
    <t>Ors Black Castor Hair Oil 100ml</t>
  </si>
  <si>
    <t>Plastic Bucket - White</t>
  </si>
  <si>
    <t>Arrowroot Powder</t>
  </si>
  <si>
    <t>Baby Powder Fragrance Oil (Nature Inspired)</t>
  </si>
  <si>
    <t>Marula Fragrance Oil (Nature Inspired)</t>
  </si>
  <si>
    <t>Perfume Fragrance Oil Inspired by White Oud</t>
  </si>
  <si>
    <t>Metric</t>
  </si>
  <si>
    <t>Total Income</t>
  </si>
  <si>
    <t>Total Expenses</t>
  </si>
  <si>
    <t>Net Profit</t>
  </si>
  <si>
    <t>Capital Invested</t>
  </si>
  <si>
    <t>Type a question</t>
  </si>
  <si>
    <t>Submission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</si>
</sst>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1.0"/>
    <col customWidth="1" min="3" max="3" width="13.43"/>
    <col customWidth="1" min="4" max="4" width="24.71"/>
    <col customWidth="1" min="5" max="5" width="12.43"/>
    <col customWidth="1" min="6" max="6" width="17.29"/>
    <col customWidth="1" min="7" max="7" width="10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45803.0</v>
      </c>
      <c r="B2" s="3" t="s">
        <v>7</v>
      </c>
      <c r="C2" s="3" t="s">
        <v>8</v>
      </c>
      <c r="D2" s="3" t="s">
        <v>9</v>
      </c>
      <c r="E2" s="3">
        <v>1200.0</v>
      </c>
      <c r="F2" s="3" t="s">
        <v>10</v>
      </c>
      <c r="G2" s="3" t="s">
        <v>11</v>
      </c>
    </row>
    <row r="3">
      <c r="A3" s="2">
        <v>45805.0</v>
      </c>
      <c r="B3" s="3" t="s">
        <v>12</v>
      </c>
      <c r="C3" s="3" t="s">
        <v>13</v>
      </c>
      <c r="D3" s="3" t="s">
        <v>14</v>
      </c>
      <c r="E3" s="3">
        <v>215.5</v>
      </c>
      <c r="F3" s="3" t="s">
        <v>10</v>
      </c>
      <c r="G3" s="3" t="s">
        <v>11</v>
      </c>
    </row>
    <row r="4">
      <c r="A4" s="2">
        <v>45813.0</v>
      </c>
      <c r="B4" s="3" t="s">
        <v>12</v>
      </c>
      <c r="C4" s="3" t="s">
        <v>13</v>
      </c>
      <c r="D4" s="3" t="s">
        <v>14</v>
      </c>
      <c r="E4" s="3">
        <v>1500.0</v>
      </c>
      <c r="F4" s="3" t="s">
        <v>10</v>
      </c>
      <c r="G4" s="3" t="s">
        <v>11</v>
      </c>
    </row>
    <row r="5">
      <c r="A5" s="2">
        <v>45828.0</v>
      </c>
      <c r="B5" s="3" t="s">
        <v>15</v>
      </c>
      <c r="C5" s="3" t="s">
        <v>13</v>
      </c>
      <c r="D5" s="3" t="s">
        <v>14</v>
      </c>
      <c r="E5" s="3">
        <v>300.0</v>
      </c>
      <c r="F5" s="3" t="s">
        <v>10</v>
      </c>
      <c r="G5" s="3" t="s">
        <v>11</v>
      </c>
    </row>
    <row r="6">
      <c r="A6" s="2">
        <v>45841.0</v>
      </c>
      <c r="B6" s="3" t="s">
        <v>16</v>
      </c>
      <c r="C6" s="3" t="s">
        <v>8</v>
      </c>
      <c r="D6" s="3" t="s">
        <v>17</v>
      </c>
      <c r="E6" s="3">
        <v>150.0</v>
      </c>
      <c r="F6" s="3" t="s">
        <v>10</v>
      </c>
      <c r="G6" s="3" t="s">
        <v>11</v>
      </c>
    </row>
    <row r="7">
      <c r="A7" s="2">
        <v>45842.0</v>
      </c>
      <c r="B7" s="3" t="s">
        <v>7</v>
      </c>
      <c r="C7" s="3" t="s">
        <v>8</v>
      </c>
      <c r="D7" s="3" t="s">
        <v>9</v>
      </c>
      <c r="E7" s="3">
        <v>1350.0</v>
      </c>
      <c r="F7" s="3" t="s">
        <v>18</v>
      </c>
      <c r="G7" s="3" t="s">
        <v>11</v>
      </c>
    </row>
    <row r="8">
      <c r="A8" s="2">
        <v>45897.0</v>
      </c>
      <c r="B8" s="3" t="s">
        <v>7</v>
      </c>
      <c r="C8" s="3" t="s">
        <v>8</v>
      </c>
      <c r="D8" s="3" t="s">
        <v>9</v>
      </c>
      <c r="E8" s="3">
        <v>1200.0</v>
      </c>
      <c r="F8" s="3" t="s">
        <v>18</v>
      </c>
      <c r="G8" s="3" t="s">
        <v>11</v>
      </c>
    </row>
    <row r="9">
      <c r="A9" s="2">
        <v>45896.0</v>
      </c>
      <c r="B9" s="3" t="s">
        <v>19</v>
      </c>
      <c r="C9" s="3" t="s">
        <v>8</v>
      </c>
      <c r="D9" s="3" t="s">
        <v>20</v>
      </c>
      <c r="E9" s="3">
        <v>120.0</v>
      </c>
      <c r="F9" s="3" t="s">
        <v>10</v>
      </c>
      <c r="G9" s="3" t="s">
        <v>11</v>
      </c>
    </row>
    <row r="10">
      <c r="A10" s="2">
        <v>45897.0</v>
      </c>
      <c r="B10" s="3" t="s">
        <v>16</v>
      </c>
      <c r="C10" s="3" t="s">
        <v>8</v>
      </c>
      <c r="D10" s="3" t="s">
        <v>17</v>
      </c>
      <c r="E10" s="3">
        <v>150.0</v>
      </c>
      <c r="F10" s="3" t="s">
        <v>10</v>
      </c>
      <c r="G10" s="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3.71"/>
    <col customWidth="1" min="3" max="26" width="8.71"/>
  </cols>
  <sheetData>
    <row r="1">
      <c r="A1" s="4" t="s">
        <v>0</v>
      </c>
      <c r="B1" s="4" t="s">
        <v>22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2">
        <v>45803.0</v>
      </c>
      <c r="B2" s="3" t="s">
        <v>7</v>
      </c>
      <c r="C2" s="3" t="s">
        <v>23</v>
      </c>
      <c r="D2" s="3" t="s">
        <v>24</v>
      </c>
      <c r="E2" s="3">
        <v>416.0</v>
      </c>
      <c r="F2" s="3" t="s">
        <v>10</v>
      </c>
      <c r="G2" s="3" t="s">
        <v>11</v>
      </c>
    </row>
    <row r="3">
      <c r="A3" s="2">
        <v>45806.0</v>
      </c>
      <c r="B3" s="3" t="s">
        <v>25</v>
      </c>
      <c r="C3" s="3" t="s">
        <v>26</v>
      </c>
      <c r="D3" s="3" t="s">
        <v>27</v>
      </c>
      <c r="E3" s="3">
        <v>421.0</v>
      </c>
      <c r="F3" s="3" t="s">
        <v>10</v>
      </c>
      <c r="G3" s="3" t="s">
        <v>11</v>
      </c>
    </row>
    <row r="4">
      <c r="A4" s="2">
        <v>45811.0</v>
      </c>
      <c r="B4" s="3" t="s">
        <v>28</v>
      </c>
      <c r="C4" s="3" t="s">
        <v>29</v>
      </c>
      <c r="D4" s="3" t="s">
        <v>30</v>
      </c>
      <c r="E4" s="3">
        <v>200.0</v>
      </c>
      <c r="F4" s="3" t="s">
        <v>18</v>
      </c>
      <c r="G4" s="3" t="s">
        <v>11</v>
      </c>
    </row>
    <row r="5">
      <c r="A5" s="2">
        <v>45813.0</v>
      </c>
      <c r="B5" s="3" t="s">
        <v>31</v>
      </c>
      <c r="C5" s="3" t="s">
        <v>26</v>
      </c>
      <c r="D5" s="3" t="s">
        <v>32</v>
      </c>
      <c r="E5" s="3">
        <v>330.78</v>
      </c>
      <c r="F5" s="3" t="s">
        <v>18</v>
      </c>
      <c r="G5" s="3" t="s">
        <v>11</v>
      </c>
    </row>
    <row r="6">
      <c r="A6" s="2">
        <v>45813.0</v>
      </c>
      <c r="B6" s="3" t="s">
        <v>33</v>
      </c>
      <c r="C6" s="3" t="s">
        <v>26</v>
      </c>
      <c r="D6" s="3" t="s">
        <v>32</v>
      </c>
      <c r="E6" s="3">
        <v>1009.0</v>
      </c>
      <c r="F6" s="3" t="s">
        <v>18</v>
      </c>
      <c r="G6" s="3" t="s">
        <v>11</v>
      </c>
    </row>
    <row r="7">
      <c r="A7" s="2">
        <v>45828.0</v>
      </c>
      <c r="B7" s="3" t="s">
        <v>28</v>
      </c>
      <c r="C7" s="3" t="s">
        <v>29</v>
      </c>
      <c r="D7" s="3" t="s">
        <v>34</v>
      </c>
      <c r="E7" s="3">
        <v>300.0</v>
      </c>
      <c r="F7" s="3" t="s">
        <v>18</v>
      </c>
      <c r="G7" s="3" t="s">
        <v>11</v>
      </c>
    </row>
    <row r="8">
      <c r="A8" s="2">
        <v>45839.0</v>
      </c>
      <c r="B8" s="3" t="s">
        <v>35</v>
      </c>
      <c r="C8" s="3" t="s">
        <v>36</v>
      </c>
      <c r="D8" s="3" t="s">
        <v>24</v>
      </c>
      <c r="E8" s="3">
        <v>50.0</v>
      </c>
      <c r="F8" s="3" t="s">
        <v>18</v>
      </c>
      <c r="G8" s="3" t="s">
        <v>11</v>
      </c>
    </row>
    <row r="9">
      <c r="A9" s="2">
        <v>45840.0</v>
      </c>
      <c r="B9" s="3" t="s">
        <v>37</v>
      </c>
      <c r="C9" s="3" t="s">
        <v>36</v>
      </c>
      <c r="D9" s="3" t="s">
        <v>24</v>
      </c>
      <c r="E9" s="3">
        <v>118.0</v>
      </c>
      <c r="F9" s="3" t="s">
        <v>18</v>
      </c>
      <c r="G9" s="3" t="s">
        <v>11</v>
      </c>
    </row>
    <row r="10">
      <c r="A10" s="2">
        <v>45842.0</v>
      </c>
      <c r="B10" s="3" t="s">
        <v>37</v>
      </c>
      <c r="C10" s="3" t="s">
        <v>36</v>
      </c>
      <c r="D10" s="3" t="s">
        <v>24</v>
      </c>
      <c r="E10" s="3">
        <v>37.0</v>
      </c>
      <c r="F10" s="3" t="s">
        <v>18</v>
      </c>
      <c r="G10" s="3" t="s">
        <v>11</v>
      </c>
    </row>
    <row r="11">
      <c r="A11" s="2">
        <v>45842.0</v>
      </c>
      <c r="B11" s="3" t="s">
        <v>37</v>
      </c>
      <c r="C11" s="3" t="s">
        <v>36</v>
      </c>
      <c r="D11" s="3" t="s">
        <v>24</v>
      </c>
      <c r="E11" s="3">
        <v>37.0</v>
      </c>
      <c r="F11" s="3" t="s">
        <v>18</v>
      </c>
      <c r="G11" s="3" t="s">
        <v>11</v>
      </c>
    </row>
    <row r="12">
      <c r="A12" s="2">
        <v>45843.0</v>
      </c>
      <c r="B12" s="3" t="s">
        <v>28</v>
      </c>
      <c r="C12" s="3" t="s">
        <v>29</v>
      </c>
      <c r="D12" s="3" t="s">
        <v>34</v>
      </c>
      <c r="E12" s="3">
        <v>300.0</v>
      </c>
      <c r="F12" s="3" t="s">
        <v>18</v>
      </c>
      <c r="G12" s="3" t="s">
        <v>11</v>
      </c>
    </row>
    <row r="13">
      <c r="A13" s="2">
        <v>45848.0</v>
      </c>
      <c r="B13" s="3" t="s">
        <v>38</v>
      </c>
      <c r="C13" s="3" t="s">
        <v>26</v>
      </c>
      <c r="D13" s="3" t="s">
        <v>39</v>
      </c>
      <c r="E13" s="3">
        <v>635.0</v>
      </c>
      <c r="F13" s="3" t="s">
        <v>18</v>
      </c>
      <c r="G13" s="3" t="s">
        <v>11</v>
      </c>
    </row>
    <row r="14">
      <c r="A14" s="2">
        <v>45853.0</v>
      </c>
      <c r="B14" s="3" t="s">
        <v>40</v>
      </c>
      <c r="C14" s="3" t="s">
        <v>26</v>
      </c>
      <c r="D14" s="3" t="s">
        <v>41</v>
      </c>
      <c r="E14" s="3">
        <v>292.5</v>
      </c>
      <c r="F14" s="3" t="s">
        <v>18</v>
      </c>
      <c r="G14" s="3" t="s">
        <v>11</v>
      </c>
    </row>
    <row r="15">
      <c r="A15" s="2">
        <v>45859.0</v>
      </c>
      <c r="B15" s="3" t="s">
        <v>28</v>
      </c>
      <c r="C15" s="3" t="s">
        <v>29</v>
      </c>
      <c r="D15" s="3" t="s">
        <v>42</v>
      </c>
      <c r="E15" s="3">
        <v>15.03</v>
      </c>
      <c r="F15" s="3" t="s">
        <v>18</v>
      </c>
      <c r="G15" s="3" t="s">
        <v>11</v>
      </c>
    </row>
    <row r="16">
      <c r="A16" s="2">
        <v>45859.0</v>
      </c>
      <c r="B16" s="3" t="s">
        <v>28</v>
      </c>
      <c r="C16" s="3" t="s">
        <v>29</v>
      </c>
      <c r="D16" s="3" t="s">
        <v>42</v>
      </c>
      <c r="E16" s="3">
        <v>40.13</v>
      </c>
      <c r="F16" s="3" t="s">
        <v>18</v>
      </c>
      <c r="G16" s="3" t="s">
        <v>11</v>
      </c>
    </row>
    <row r="17">
      <c r="A17" s="2">
        <v>45859.0</v>
      </c>
      <c r="B17" s="3" t="s">
        <v>28</v>
      </c>
      <c r="C17" s="3" t="s">
        <v>29</v>
      </c>
      <c r="D17" s="3" t="s">
        <v>42</v>
      </c>
      <c r="E17" s="3">
        <v>40.13</v>
      </c>
      <c r="F17" s="3" t="s">
        <v>18</v>
      </c>
      <c r="G17" s="3" t="s">
        <v>11</v>
      </c>
    </row>
    <row r="18">
      <c r="A18" s="2">
        <v>45859.0</v>
      </c>
      <c r="B18" s="3" t="s">
        <v>28</v>
      </c>
      <c r="C18" s="3" t="s">
        <v>29</v>
      </c>
      <c r="D18" s="3" t="s">
        <v>42</v>
      </c>
      <c r="E18" s="3">
        <v>40.13</v>
      </c>
      <c r="F18" s="3" t="s">
        <v>18</v>
      </c>
      <c r="G18" s="3" t="s">
        <v>11</v>
      </c>
    </row>
    <row r="19">
      <c r="A19" s="2">
        <v>45860.0</v>
      </c>
      <c r="B19" s="3" t="s">
        <v>28</v>
      </c>
      <c r="C19" s="3" t="s">
        <v>29</v>
      </c>
      <c r="D19" s="3" t="s">
        <v>42</v>
      </c>
      <c r="E19" s="3">
        <v>40.41</v>
      </c>
      <c r="F19" s="3" t="s">
        <v>18</v>
      </c>
      <c r="G19" s="3" t="s">
        <v>11</v>
      </c>
    </row>
    <row r="20">
      <c r="A20" s="2">
        <v>45860.0</v>
      </c>
      <c r="B20" s="3" t="s">
        <v>28</v>
      </c>
      <c r="C20" s="3" t="s">
        <v>29</v>
      </c>
      <c r="D20" s="3" t="s">
        <v>42</v>
      </c>
      <c r="E20" s="3">
        <v>5.76</v>
      </c>
      <c r="F20" s="3" t="s">
        <v>18</v>
      </c>
      <c r="G20" s="3" t="s">
        <v>11</v>
      </c>
    </row>
    <row r="21" ht="15.75" customHeight="1">
      <c r="A21" s="2">
        <v>45860.0</v>
      </c>
      <c r="B21" s="3" t="s">
        <v>28</v>
      </c>
      <c r="C21" s="3" t="s">
        <v>29</v>
      </c>
      <c r="D21" s="3" t="s">
        <v>42</v>
      </c>
      <c r="E21" s="3">
        <v>40.41</v>
      </c>
      <c r="F21" s="3" t="s">
        <v>18</v>
      </c>
      <c r="G21" s="3" t="s">
        <v>11</v>
      </c>
    </row>
    <row r="22" ht="15.75" customHeight="1">
      <c r="A22" s="2">
        <v>45860.0</v>
      </c>
      <c r="B22" s="3" t="s">
        <v>28</v>
      </c>
      <c r="C22" s="3" t="s">
        <v>29</v>
      </c>
      <c r="D22" s="3" t="s">
        <v>43</v>
      </c>
      <c r="E22" s="3">
        <v>100.0</v>
      </c>
      <c r="F22" s="3" t="s">
        <v>18</v>
      </c>
      <c r="G22" s="3" t="s">
        <v>11</v>
      </c>
    </row>
    <row r="23" ht="15.75" customHeight="1">
      <c r="A23" s="2">
        <v>45892.0</v>
      </c>
      <c r="B23" s="3" t="s">
        <v>7</v>
      </c>
      <c r="C23" s="3" t="s">
        <v>23</v>
      </c>
      <c r="D23" s="3" t="s">
        <v>24</v>
      </c>
      <c r="E23" s="3">
        <v>110.0</v>
      </c>
      <c r="F23" s="3" t="s">
        <v>10</v>
      </c>
      <c r="G23" s="3" t="s">
        <v>11</v>
      </c>
    </row>
    <row r="24" ht="15.75" customHeight="1">
      <c r="A24" s="2">
        <v>45892.0</v>
      </c>
      <c r="B24" s="3" t="s">
        <v>16</v>
      </c>
      <c r="C24" s="3" t="s">
        <v>23</v>
      </c>
      <c r="D24" s="3" t="s">
        <v>24</v>
      </c>
      <c r="E24" s="3">
        <v>62.0</v>
      </c>
      <c r="F24" s="3" t="s">
        <v>10</v>
      </c>
      <c r="G24" s="3" t="s">
        <v>11</v>
      </c>
    </row>
    <row r="25" ht="15.75" customHeight="1">
      <c r="A25" s="2">
        <v>46018.0</v>
      </c>
      <c r="B25" s="3" t="s">
        <v>44</v>
      </c>
      <c r="C25" s="3" t="s">
        <v>45</v>
      </c>
      <c r="D25" s="3" t="s">
        <v>45</v>
      </c>
      <c r="E25" s="3">
        <v>36.0</v>
      </c>
      <c r="F25" s="3" t="s">
        <v>10</v>
      </c>
      <c r="G25" s="3" t="s">
        <v>11</v>
      </c>
    </row>
    <row r="26" ht="15.75" customHeight="1">
      <c r="A26" s="5">
        <v>45905.0</v>
      </c>
      <c r="B26" s="3" t="s">
        <v>46</v>
      </c>
      <c r="C26" s="3" t="s">
        <v>23</v>
      </c>
      <c r="D26" s="3" t="s">
        <v>23</v>
      </c>
      <c r="E26" s="4">
        <v>130.0</v>
      </c>
      <c r="F26" s="3" t="s">
        <v>10</v>
      </c>
      <c r="G26" s="3" t="s">
        <v>11</v>
      </c>
    </row>
    <row r="27" ht="15.75" customHeight="1">
      <c r="A27" s="2">
        <v>45784.0</v>
      </c>
      <c r="B27" s="3" t="s">
        <v>33</v>
      </c>
      <c r="C27" s="3" t="s">
        <v>23</v>
      </c>
      <c r="D27" s="3" t="s">
        <v>23</v>
      </c>
      <c r="E27" s="3">
        <v>99.0</v>
      </c>
      <c r="F27" s="3" t="s">
        <v>10</v>
      </c>
      <c r="G27" s="3" t="s">
        <v>11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3" width="13.0"/>
    <col customWidth="1" min="4" max="4" width="11.71"/>
    <col customWidth="1" min="5" max="26" width="8.71"/>
  </cols>
  <sheetData>
    <row r="1">
      <c r="A1" s="4" t="s">
        <v>0</v>
      </c>
      <c r="B1" s="4" t="s">
        <v>47</v>
      </c>
      <c r="C1" s="4" t="s">
        <v>3</v>
      </c>
      <c r="D1" s="4" t="s">
        <v>4</v>
      </c>
      <c r="E1" s="4" t="s">
        <v>6</v>
      </c>
    </row>
    <row r="2">
      <c r="A2" s="2">
        <v>45813.0</v>
      </c>
      <c r="B2" s="3" t="s">
        <v>48</v>
      </c>
      <c r="C2" s="3" t="s">
        <v>49</v>
      </c>
      <c r="D2" s="3">
        <v>1500.0</v>
      </c>
      <c r="E2" s="3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5.86"/>
    <col customWidth="1" min="3" max="3" width="18.43"/>
    <col customWidth="1" min="4" max="4" width="22.71"/>
    <col customWidth="1" min="5" max="5" width="22.86"/>
    <col customWidth="1" min="6" max="6" width="15.71"/>
    <col customWidth="1" min="7" max="26" width="8.71"/>
  </cols>
  <sheetData>
    <row r="1">
      <c r="A1" s="4" t="s">
        <v>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6</v>
      </c>
    </row>
    <row r="2">
      <c r="A2" s="2">
        <v>45806.0</v>
      </c>
      <c r="B2" s="3" t="s">
        <v>56</v>
      </c>
      <c r="C2" s="3">
        <v>20.0</v>
      </c>
      <c r="D2" s="3">
        <v>7.8</v>
      </c>
      <c r="E2" s="3">
        <v>156.0</v>
      </c>
      <c r="F2" s="3" t="s">
        <v>25</v>
      </c>
      <c r="G2" s="3" t="s">
        <v>57</v>
      </c>
    </row>
    <row r="3">
      <c r="A3" s="2">
        <v>45806.0</v>
      </c>
      <c r="B3" s="3" t="s">
        <v>58</v>
      </c>
      <c r="C3" s="3">
        <v>20.0</v>
      </c>
      <c r="D3" s="3">
        <v>3.0</v>
      </c>
      <c r="E3" s="3">
        <v>60.0</v>
      </c>
      <c r="F3" s="3" t="s">
        <v>25</v>
      </c>
      <c r="G3" s="3" t="s">
        <v>59</v>
      </c>
    </row>
    <row r="4">
      <c r="A4" s="2">
        <v>45806.0</v>
      </c>
      <c r="B4" s="3" t="s">
        <v>60</v>
      </c>
      <c r="C4" s="3">
        <v>10.0</v>
      </c>
      <c r="D4" s="3">
        <v>1.3</v>
      </c>
      <c r="E4" s="3">
        <v>13.0</v>
      </c>
      <c r="F4" s="3" t="s">
        <v>25</v>
      </c>
      <c r="G4" s="3" t="s">
        <v>61</v>
      </c>
    </row>
    <row r="5">
      <c r="A5" s="2">
        <v>45806.0</v>
      </c>
      <c r="B5" s="3" t="s">
        <v>62</v>
      </c>
      <c r="C5" s="3">
        <v>10.0</v>
      </c>
      <c r="D5" s="3">
        <v>2.5</v>
      </c>
      <c r="E5" s="3">
        <v>25.0</v>
      </c>
      <c r="F5" s="3" t="s">
        <v>25</v>
      </c>
      <c r="G5" s="3" t="s">
        <v>63</v>
      </c>
    </row>
    <row r="6">
      <c r="A6" s="2">
        <v>45806.0</v>
      </c>
      <c r="B6" s="3" t="s">
        <v>64</v>
      </c>
      <c r="C6" s="3">
        <v>10.0</v>
      </c>
      <c r="D6" s="3">
        <v>7.8</v>
      </c>
      <c r="E6" s="3">
        <v>78.0</v>
      </c>
      <c r="F6" s="3" t="s">
        <v>25</v>
      </c>
      <c r="G6" s="3" t="s">
        <v>65</v>
      </c>
    </row>
    <row r="7">
      <c r="A7" s="2">
        <v>45803.0</v>
      </c>
      <c r="B7" s="3" t="s">
        <v>66</v>
      </c>
      <c r="C7" s="3">
        <v>1.0</v>
      </c>
      <c r="D7" s="3">
        <v>99.99</v>
      </c>
      <c r="E7" s="3">
        <v>99.99</v>
      </c>
      <c r="F7" s="3" t="s">
        <v>67</v>
      </c>
      <c r="G7" s="3" t="s">
        <v>68</v>
      </c>
    </row>
    <row r="8">
      <c r="A8" s="2">
        <v>45803.0</v>
      </c>
      <c r="B8" s="3" t="s">
        <v>69</v>
      </c>
      <c r="C8" s="3">
        <v>3.0</v>
      </c>
      <c r="D8" s="3">
        <v>64.99</v>
      </c>
      <c r="E8" s="3">
        <v>194.97</v>
      </c>
      <c r="F8" s="3" t="s">
        <v>67</v>
      </c>
      <c r="G8" s="3" t="s">
        <v>68</v>
      </c>
    </row>
    <row r="9">
      <c r="A9" s="2">
        <v>45813.0</v>
      </c>
      <c r="B9" s="3" t="s">
        <v>70</v>
      </c>
      <c r="C9" s="3">
        <v>1.0</v>
      </c>
      <c r="D9" s="3">
        <v>29.0</v>
      </c>
      <c r="E9" s="3">
        <v>29.0</v>
      </c>
      <c r="F9" s="3" t="s">
        <v>33</v>
      </c>
      <c r="G9" s="3" t="s">
        <v>61</v>
      </c>
    </row>
    <row r="10">
      <c r="A10" s="2">
        <v>45813.0</v>
      </c>
      <c r="B10" s="3" t="s">
        <v>71</v>
      </c>
      <c r="C10" s="3">
        <v>1.0</v>
      </c>
      <c r="D10" s="3">
        <v>295.0</v>
      </c>
      <c r="E10" s="3">
        <v>295.0</v>
      </c>
      <c r="F10" s="3" t="s">
        <v>33</v>
      </c>
      <c r="G10" s="3" t="s">
        <v>72</v>
      </c>
    </row>
    <row r="11">
      <c r="A11" s="2">
        <v>45813.0</v>
      </c>
      <c r="B11" s="3" t="s">
        <v>73</v>
      </c>
      <c r="C11" s="3">
        <v>1.0</v>
      </c>
      <c r="D11" s="3">
        <v>99.0</v>
      </c>
      <c r="E11" s="3">
        <v>99.0</v>
      </c>
      <c r="F11" s="3" t="s">
        <v>33</v>
      </c>
      <c r="G11" s="3" t="s">
        <v>74</v>
      </c>
    </row>
    <row r="12">
      <c r="A12" s="2">
        <v>45813.0</v>
      </c>
      <c r="B12" s="3" t="s">
        <v>75</v>
      </c>
      <c r="C12" s="3">
        <v>1.0</v>
      </c>
      <c r="D12" s="3">
        <v>137.0</v>
      </c>
      <c r="E12" s="3">
        <v>137.0</v>
      </c>
      <c r="F12" s="3" t="s">
        <v>33</v>
      </c>
      <c r="G12" s="3" t="s">
        <v>76</v>
      </c>
    </row>
    <row r="13">
      <c r="A13" s="2">
        <v>45813.0</v>
      </c>
      <c r="B13" s="3" t="s">
        <v>77</v>
      </c>
      <c r="C13" s="3">
        <v>1.0</v>
      </c>
      <c r="D13" s="3">
        <v>449.0</v>
      </c>
      <c r="E13" s="3">
        <v>449.0</v>
      </c>
      <c r="F13" s="3" t="s">
        <v>33</v>
      </c>
      <c r="G13" s="3" t="s">
        <v>76</v>
      </c>
    </row>
    <row r="14">
      <c r="A14" s="2">
        <v>45813.0</v>
      </c>
      <c r="B14" s="3" t="s">
        <v>78</v>
      </c>
      <c r="C14" s="3">
        <v>1.0</v>
      </c>
      <c r="D14" s="3">
        <v>107.63</v>
      </c>
      <c r="E14" s="3">
        <v>107.63</v>
      </c>
      <c r="F14" s="3" t="s">
        <v>79</v>
      </c>
      <c r="G14" s="3" t="s">
        <v>80</v>
      </c>
    </row>
    <row r="15">
      <c r="A15" s="2">
        <v>45813.0</v>
      </c>
      <c r="B15" s="3" t="s">
        <v>81</v>
      </c>
      <c r="C15" s="3">
        <v>1.0</v>
      </c>
      <c r="D15" s="3">
        <v>123.15</v>
      </c>
      <c r="E15" s="3">
        <v>123.15</v>
      </c>
      <c r="F15" s="3" t="s">
        <v>79</v>
      </c>
      <c r="G15" s="3" t="s">
        <v>80</v>
      </c>
    </row>
    <row r="16">
      <c r="A16" s="2">
        <v>45833.0</v>
      </c>
      <c r="B16" s="3" t="s">
        <v>82</v>
      </c>
      <c r="E16" s="3">
        <v>100.0</v>
      </c>
      <c r="F16" s="3" t="s">
        <v>79</v>
      </c>
      <c r="G16" s="3" t="s">
        <v>83</v>
      </c>
    </row>
    <row r="17">
      <c r="A17" s="2">
        <v>45892.0</v>
      </c>
      <c r="B17" s="3" t="s">
        <v>84</v>
      </c>
      <c r="C17" s="3">
        <v>2.0</v>
      </c>
      <c r="D17" s="3">
        <v>39.99</v>
      </c>
      <c r="E17" s="4">
        <f t="shared" ref="E17:E34" si="1">D17*C17</f>
        <v>79.98</v>
      </c>
      <c r="F17" s="3" t="s">
        <v>85</v>
      </c>
      <c r="G17" s="3" t="s">
        <v>86</v>
      </c>
    </row>
    <row r="18">
      <c r="A18" s="5">
        <v>45905.0</v>
      </c>
      <c r="B18" s="4" t="s">
        <v>87</v>
      </c>
      <c r="C18" s="3">
        <v>1.0</v>
      </c>
      <c r="D18" s="4">
        <v>44.0</v>
      </c>
      <c r="E18" s="4">
        <f t="shared" si="1"/>
        <v>44</v>
      </c>
      <c r="F18" s="3" t="s">
        <v>46</v>
      </c>
    </row>
    <row r="19">
      <c r="A19" s="5">
        <v>45905.0</v>
      </c>
      <c r="B19" s="4" t="s">
        <v>88</v>
      </c>
      <c r="C19" s="3">
        <v>1.0</v>
      </c>
      <c r="D19" s="4">
        <v>60.0</v>
      </c>
      <c r="E19" s="4">
        <f t="shared" si="1"/>
        <v>60</v>
      </c>
      <c r="F19" s="3" t="s">
        <v>46</v>
      </c>
    </row>
    <row r="20">
      <c r="A20" s="5">
        <v>45905.0</v>
      </c>
      <c r="B20" s="4" t="s">
        <v>89</v>
      </c>
      <c r="C20" s="3">
        <v>1.0</v>
      </c>
      <c r="D20" s="4">
        <v>37.4</v>
      </c>
      <c r="E20" s="4">
        <f t="shared" si="1"/>
        <v>37.4</v>
      </c>
      <c r="F20" s="3" t="s">
        <v>46</v>
      </c>
    </row>
    <row r="21" ht="15.75" customHeight="1">
      <c r="A21" s="5">
        <v>45905.0</v>
      </c>
      <c r="B21" s="4" t="s">
        <v>90</v>
      </c>
      <c r="C21" s="3">
        <v>1.0</v>
      </c>
      <c r="D21" s="4">
        <v>36.0</v>
      </c>
      <c r="E21" s="4">
        <f t="shared" si="1"/>
        <v>36</v>
      </c>
      <c r="F21" s="3" t="s">
        <v>46</v>
      </c>
    </row>
    <row r="22" ht="15.75" customHeight="1">
      <c r="A22" s="5">
        <v>45905.0</v>
      </c>
      <c r="B22" s="4" t="s">
        <v>91</v>
      </c>
      <c r="C22" s="3">
        <v>2.0</v>
      </c>
      <c r="D22" s="4">
        <v>28.0</v>
      </c>
      <c r="E22" s="4">
        <f t="shared" si="1"/>
        <v>56</v>
      </c>
      <c r="F22" s="3" t="s">
        <v>46</v>
      </c>
    </row>
    <row r="23" ht="15.75" customHeight="1">
      <c r="A23" s="5">
        <v>45905.0</v>
      </c>
      <c r="B23" s="4" t="s">
        <v>92</v>
      </c>
      <c r="C23" s="3">
        <v>2.0</v>
      </c>
      <c r="D23" s="4">
        <v>55.6</v>
      </c>
      <c r="E23" s="4">
        <f t="shared" si="1"/>
        <v>111.2</v>
      </c>
      <c r="F23" s="3" t="s">
        <v>46</v>
      </c>
    </row>
    <row r="24" ht="15.75" customHeight="1">
      <c r="A24" s="5">
        <v>45905.0</v>
      </c>
      <c r="B24" s="4" t="s">
        <v>93</v>
      </c>
      <c r="C24" s="3">
        <v>1.0</v>
      </c>
      <c r="D24" s="4">
        <v>20.0</v>
      </c>
      <c r="E24" s="4">
        <f t="shared" si="1"/>
        <v>20</v>
      </c>
      <c r="F24" s="3" t="s">
        <v>46</v>
      </c>
    </row>
    <row r="25" ht="15.75" customHeight="1">
      <c r="A25" s="5">
        <v>45905.0</v>
      </c>
      <c r="B25" s="4" t="s">
        <v>94</v>
      </c>
      <c r="C25" s="3">
        <v>1.0</v>
      </c>
      <c r="D25" s="4">
        <v>20.0</v>
      </c>
      <c r="E25" s="4">
        <f t="shared" si="1"/>
        <v>20</v>
      </c>
      <c r="F25" s="3" t="s">
        <v>46</v>
      </c>
    </row>
    <row r="26" ht="15.75" customHeight="1">
      <c r="A26" s="2">
        <v>45924.0</v>
      </c>
      <c r="B26" s="3" t="s">
        <v>95</v>
      </c>
      <c r="C26" s="3">
        <v>1.0</v>
      </c>
      <c r="D26" s="3">
        <v>44.0</v>
      </c>
      <c r="E26" s="4">
        <f t="shared" si="1"/>
        <v>44</v>
      </c>
      <c r="F26" s="3" t="s">
        <v>33</v>
      </c>
    </row>
    <row r="27" ht="15.75" customHeight="1">
      <c r="A27" s="2">
        <v>45924.0</v>
      </c>
      <c r="B27" s="3" t="s">
        <v>96</v>
      </c>
      <c r="C27" s="3">
        <v>1.0</v>
      </c>
      <c r="D27" s="3">
        <v>164.5</v>
      </c>
      <c r="E27" s="4">
        <f t="shared" si="1"/>
        <v>164.5</v>
      </c>
      <c r="F27" s="3" t="s">
        <v>33</v>
      </c>
    </row>
    <row r="28" ht="15.75" customHeight="1">
      <c r="A28" s="2">
        <v>45924.0</v>
      </c>
      <c r="B28" s="3" t="s">
        <v>97</v>
      </c>
      <c r="C28" s="3">
        <v>1.0</v>
      </c>
      <c r="D28" s="3">
        <v>214.5</v>
      </c>
      <c r="E28" s="4">
        <f t="shared" si="1"/>
        <v>214.5</v>
      </c>
      <c r="F28" s="3" t="s">
        <v>33</v>
      </c>
    </row>
    <row r="29" ht="15.75" customHeight="1">
      <c r="A29" s="2">
        <v>45986.0</v>
      </c>
      <c r="B29" s="3" t="s">
        <v>98</v>
      </c>
      <c r="C29" s="3">
        <v>1.0</v>
      </c>
      <c r="D29" s="3">
        <v>108.0</v>
      </c>
      <c r="E29" s="4">
        <f t="shared" si="1"/>
        <v>108</v>
      </c>
      <c r="F29" s="3" t="s">
        <v>33</v>
      </c>
    </row>
    <row r="30" ht="15.75" customHeight="1">
      <c r="A30" s="2">
        <v>45986.0</v>
      </c>
      <c r="B30" s="3" t="s">
        <v>99</v>
      </c>
      <c r="C30" s="3">
        <v>1.0</v>
      </c>
      <c r="D30" s="3">
        <v>70.0</v>
      </c>
      <c r="E30" s="4">
        <f t="shared" si="1"/>
        <v>70</v>
      </c>
      <c r="F30" s="3" t="s">
        <v>33</v>
      </c>
    </row>
    <row r="31" ht="15.75" customHeight="1">
      <c r="A31" s="2">
        <v>46018.0</v>
      </c>
      <c r="B31" s="3" t="s">
        <v>69</v>
      </c>
      <c r="C31" s="3">
        <v>1.0</v>
      </c>
      <c r="D31" s="3">
        <v>59.99</v>
      </c>
      <c r="E31" s="4">
        <f t="shared" si="1"/>
        <v>59.99</v>
      </c>
      <c r="F31" s="3" t="s">
        <v>67</v>
      </c>
      <c r="G31" s="3" t="s">
        <v>68</v>
      </c>
    </row>
    <row r="32" ht="15.75" customHeight="1">
      <c r="A32" s="2">
        <v>46018.0</v>
      </c>
      <c r="B32" s="3" t="s">
        <v>100</v>
      </c>
      <c r="C32" s="3">
        <v>1.0</v>
      </c>
      <c r="D32" s="3">
        <v>69.99</v>
      </c>
      <c r="E32" s="4">
        <f t="shared" si="1"/>
        <v>69.99</v>
      </c>
      <c r="F32" s="3" t="s">
        <v>67</v>
      </c>
    </row>
    <row r="33" ht="15.75" customHeight="1">
      <c r="A33" s="2">
        <v>46018.0</v>
      </c>
      <c r="B33" s="3" t="s">
        <v>101</v>
      </c>
      <c r="C33" s="3">
        <v>1.0</v>
      </c>
      <c r="D33" s="3">
        <v>99.99</v>
      </c>
      <c r="E33" s="4">
        <f t="shared" si="1"/>
        <v>99.99</v>
      </c>
      <c r="F33" s="3" t="s">
        <v>67</v>
      </c>
    </row>
    <row r="34" ht="15.75" customHeight="1">
      <c r="A34" s="2">
        <v>45844.0</v>
      </c>
      <c r="B34" s="3" t="s">
        <v>69</v>
      </c>
      <c r="C34" s="3">
        <v>2.0</v>
      </c>
      <c r="D34" s="3">
        <v>64.99</v>
      </c>
      <c r="E34" s="4">
        <f t="shared" si="1"/>
        <v>129.98</v>
      </c>
      <c r="F34" s="3" t="s">
        <v>67</v>
      </c>
    </row>
    <row r="35" ht="15.75" customHeight="1">
      <c r="A35" s="2">
        <v>45784.0</v>
      </c>
      <c r="B35" s="3" t="s">
        <v>102</v>
      </c>
      <c r="C35" s="3">
        <v>1.0</v>
      </c>
      <c r="D35" s="3">
        <v>69.0</v>
      </c>
    </row>
    <row r="36" ht="15.75" customHeight="1">
      <c r="A36" s="2">
        <v>45784.0</v>
      </c>
      <c r="B36" s="3" t="s">
        <v>103</v>
      </c>
      <c r="C36" s="3">
        <v>1.0</v>
      </c>
      <c r="D36" s="3">
        <v>120.0</v>
      </c>
    </row>
    <row r="37" ht="15.75" customHeight="1">
      <c r="A37" s="2">
        <v>45784.0</v>
      </c>
      <c r="B37" s="3" t="s">
        <v>104</v>
      </c>
      <c r="C37" s="3">
        <v>1.0</v>
      </c>
      <c r="D37" s="3">
        <v>29.0</v>
      </c>
    </row>
    <row r="38" ht="15.75" customHeight="1">
      <c r="A38" s="2">
        <v>45784.0</v>
      </c>
      <c r="B38" s="3" t="s">
        <v>105</v>
      </c>
      <c r="C38" s="3">
        <v>1.0</v>
      </c>
      <c r="D38" s="3">
        <v>34.99</v>
      </c>
    </row>
    <row r="39" ht="15.75" customHeight="1">
      <c r="A39" s="2">
        <v>45784.0</v>
      </c>
      <c r="B39" s="3" t="s">
        <v>106</v>
      </c>
      <c r="C39" s="3">
        <v>1.0</v>
      </c>
      <c r="D39" s="3">
        <v>39.0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57"/>
    <col customWidth="1" min="3" max="26" width="8.71"/>
  </cols>
  <sheetData>
    <row r="1">
      <c r="A1" s="4" t="s">
        <v>107</v>
      </c>
      <c r="B1" s="4" t="s">
        <v>4</v>
      </c>
    </row>
    <row r="2">
      <c r="A2" s="4" t="s">
        <v>108</v>
      </c>
      <c r="B2" s="4">
        <f>SUM(Income!E2:E1000)</f>
        <v>6185.5</v>
      </c>
    </row>
    <row r="3">
      <c r="A3" s="4" t="s">
        <v>109</v>
      </c>
      <c r="B3" s="4">
        <f>SUM(Expenses!E2:E1000)</f>
        <v>4905.28</v>
      </c>
    </row>
    <row r="4">
      <c r="A4" s="4" t="s">
        <v>110</v>
      </c>
      <c r="B4" s="4">
        <f>B2-B3</f>
        <v>1280.22</v>
      </c>
    </row>
    <row r="5">
      <c r="A5" s="4" t="s">
        <v>111</v>
      </c>
      <c r="B5" s="4">
        <f>SUM(Capital!D2:D1000)</f>
        <v>1500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F2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29"/>
    <col customWidth="1" min="2" max="2" width="15.86"/>
    <col customWidth="1" min="3" max="3" width="9.29"/>
    <col customWidth="1" min="4" max="4" width="15.43"/>
    <col customWidth="1" min="5" max="5" width="8.29"/>
    <col customWidth="1" min="6" max="6" width="16.57"/>
    <col customWidth="1" min="7" max="7" width="6.43"/>
    <col customWidth="1" min="8" max="8" width="14.14"/>
  </cols>
  <sheetData>
    <row r="1">
      <c r="A1" s="3" t="s">
        <v>0</v>
      </c>
      <c r="B1" s="3" t="s">
        <v>1</v>
      </c>
      <c r="C1" s="3" t="s">
        <v>2</v>
      </c>
      <c r="D1" s="3" t="s">
        <v>112</v>
      </c>
      <c r="E1" s="3" t="s">
        <v>4</v>
      </c>
      <c r="F1" s="3" t="s">
        <v>5</v>
      </c>
      <c r="G1" s="3" t="s">
        <v>6</v>
      </c>
      <c r="H1" s="3" t="s">
        <v>113</v>
      </c>
    </row>
  </sheetData>
  <drawing r:id="rId1"/>
</worksheet>
</file>